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e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<sst xmlns="http://schemas.openxmlformats.org/spreadsheetml/2006/main" count="32" uniqueCount="32">
  <si>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QURILISH SMETASI</t>
  </si>
  <si>
    <t xml:space="preserve">Obyekt nomi:</t>
  </si>
  <si>
    <t xml:space="preserve">__________________ (to'ldiring)</t>
  </si>
  <si>
    <t xml:space="preserve">Sana:</t>
  </si>
  <si>
    <t xml:space="preserve">__________________</t>
  </si>
  <si>
    <t xml:space="preserve">Izoh: sariq kataklarni to'ldiring (Miqdor va Narx). Summa va jamilar avtomatik hisoblanadi.</t>
  </si>
  <si>
    <t xml:space="preserve">№</t>
  </si>
  <si>
    <t xml:space="preserve">Nomi</t>
  </si>
  <si>
    <t xml:space="preserve">Birlik</t>
  </si>
  <si>
    <t xml:space="preserve">Miqdor</t>
  </si>
  <si>
    <t xml:space="preserve">Narx (so'm)</t>
  </si>
  <si>
    <t xml:space="preserve">Summa (so'm)</t>
  </si>
  <si>
    <t xml:space="preserve">1. MATERIALLAR</t>
  </si>
  <si>
    <t xml:space="preserve">G'isht (namuna)</t>
  </si>
  <si>
    <t xml:space="preserve">dona</t>
  </si>
  <si>
    <t xml:space="preserve">Sement M400</t>
  </si>
  <si>
    <t xml:space="preserve">qop</t>
  </si>
  <si>
    <t xml:space="preserve">Qum</t>
  </si>
  <si>
    <t xml:space="preserve">m³</t>
  </si>
  <si>
    <t xml:space="preserve">1. MATERIALLAR jami:</t>
  </si>
  <si>
    <t xml:space="preserve">2. ISHCHI KUCHI</t>
  </si>
  <si>
    <t xml:space="preserve">Usta ish haqi (namuna)</t>
  </si>
  <si>
    <t xml:space="preserve">kun</t>
  </si>
  <si>
    <t xml:space="preserve">2. ISHCHI KUCHI jami:</t>
  </si>
  <si>
    <t xml:space="preserve">3. BOSHQA XARAJATLAR</t>
  </si>
  <si>
    <t xml:space="preserve">Transport (namuna)</t>
  </si>
  <si>
    <t xml:space="preserve">reys</t>
  </si>
  <si>
    <t xml:space="preserve">3. BOSHQA XARAJATLAR jami:</t>
  </si>
  <si>
    <t xml:space="preserve">JAMI:</t>
  </si>
  <si>
    <t xml:space="preserve">Kutilmagan xarajatlar (10%):</t>
  </si>
  <si>
    <t xml:space="preserve">UMUMIY SMETA:</t>
  </si>
  <si>
    <t xml:space="preserve">Manba: Kalki.uz shabloni. Namuna qatorlari — o'z qiymatlaringiz bilan almashtiring.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</si>
</sst>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9"/>
      <color rgb="FF5C6B6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2"/>
      <charset val="1"/>
    </font>
    <font>
      <sz val="11"/>
      <color rgb="FF0000FF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3"/>
      <color rgb="FF0E3B2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E3B2E"/>
        <bgColor rgb="FF003366"/>
      </patternFill>
    </fill>
    <fill>
      <patternFill patternType="solid">
        <fgColor rgb="FFEAF3EE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C9C9"/>
      <rgbColor rgb="FF808080"/>
      <rgbColor rgb="FF9999FF"/>
      <rgbColor rgb="FF993366"/>
      <rgbColor rgb="FFEAF3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3"/>
      <rgbColor rgb="FF969696"/>
      <rgbColor rgb="FF003366"/>
      <rgbColor rgb="FF339966"/>
      <rgbColor rgb="FF0E3B2E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8"/>
    <col collapsed="false" customWidth="true" hidden="false" outlineLevel="0" max="4" min="3" style="0" width="10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3" t="s">
        <v>4</v>
      </c>
    </row>
    <row r="5" customFormat="false" ht="15" hidden="false" customHeight="false" outlineLevel="0" collapsed="false">
      <c r="A5" s="4" t="s">
        <v>5</v>
      </c>
    </row>
    <row r="7" customFormat="false" ht="15" hidden="false" customHeight="false" outlineLevel="0" collapsed="false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</row>
    <row r="8" customFormat="false" ht="15" hidden="false" customHeight="false" outlineLevel="0" collapsed="false">
      <c r="A8" s="6" t="s">
        <v>12</v>
      </c>
      <c r="B8" s="7"/>
      <c r="C8" s="7"/>
      <c r="D8" s="7"/>
      <c r="E8" s="7"/>
      <c r="F8" s="7"/>
    </row>
    <row r="9" customFormat="false" ht="15" hidden="false" customHeight="false" outlineLevel="0" collapsed="false">
      <c r="A9" s="8" t="n">
        <v>1</v>
      </c>
      <c r="B9" s="8" t="s">
        <v>13</v>
      </c>
      <c r="C9" s="8" t="s">
        <v>14</v>
      </c>
      <c r="D9" s="9" t="n">
        <v>5000</v>
      </c>
      <c r="E9" s="10" t="n">
        <v>1500</v>
      </c>
      <c r="F9" s="11" t="n">
        <f aca="false">D9*E9</f>
        <v>7500000</v>
      </c>
    </row>
    <row r="10" customFormat="false" ht="15" hidden="false" customHeight="false" outlineLevel="0" collapsed="false">
      <c r="A10" s="8" t="n">
        <v>2</v>
      </c>
      <c r="B10" s="8" t="s">
        <v>15</v>
      </c>
      <c r="C10" s="8" t="s">
        <v>16</v>
      </c>
      <c r="D10" s="9" t="n">
        <v>50</v>
      </c>
      <c r="E10" s="10" t="n">
        <v>55000</v>
      </c>
      <c r="F10" s="11" t="n">
        <f aca="false">D10*E10</f>
        <v>2750000</v>
      </c>
    </row>
    <row r="11" customFormat="false" ht="15" hidden="false" customHeight="false" outlineLevel="0" collapsed="false">
      <c r="A11" s="8" t="n">
        <v>3</v>
      </c>
      <c r="B11" s="8" t="s">
        <v>17</v>
      </c>
      <c r="C11" s="8" t="s">
        <v>18</v>
      </c>
      <c r="D11" s="9" t="n">
        <v>10</v>
      </c>
      <c r="E11" s="10" t="n">
        <v>120000</v>
      </c>
      <c r="F11" s="11" t="n">
        <f aca="false">D11*E11</f>
        <v>1200000</v>
      </c>
    </row>
    <row r="12" customFormat="false" ht="15" hidden="false" customHeight="false" outlineLevel="0" collapsed="false">
      <c r="A12" s="8" t="n">
        <v>4</v>
      </c>
      <c r="B12" s="8"/>
      <c r="C12" s="8"/>
      <c r="D12" s="9" t="n">
        <v>0</v>
      </c>
      <c r="E12" s="10" t="n">
        <v>0</v>
      </c>
      <c r="F12" s="11" t="n">
        <f aca="false">D12*E12</f>
        <v>0</v>
      </c>
    </row>
    <row r="13" customFormat="false" ht="15" hidden="false" customHeight="false" outlineLevel="0" collapsed="false">
      <c r="A13" s="8" t="n">
        <v>5</v>
      </c>
      <c r="B13" s="8"/>
      <c r="C13" s="8"/>
      <c r="D13" s="9" t="n">
        <v>0</v>
      </c>
      <c r="E13" s="10" t="n">
        <v>0</v>
      </c>
      <c r="F13" s="11" t="n">
        <f aca="false">D13*E13</f>
        <v>0</v>
      </c>
    </row>
    <row r="14" customFormat="false" ht="15" hidden="false" customHeight="false" outlineLevel="0" collapsed="false">
      <c r="A14" s="8" t="n">
        <v>6</v>
      </c>
      <c r="B14" s="8"/>
      <c r="C14" s="8"/>
      <c r="D14" s="9" t="n">
        <v>0</v>
      </c>
      <c r="E14" s="10" t="n">
        <v>0</v>
      </c>
      <c r="F14" s="11" t="n">
        <f aca="false">D14*E14</f>
        <v>0</v>
      </c>
    </row>
    <row r="15" customFormat="false" ht="15" hidden="false" customHeight="false" outlineLevel="0" collapsed="false">
      <c r="A15" s="12"/>
      <c r="B15" s="13" t="s">
        <v>19</v>
      </c>
      <c r="C15" s="12"/>
      <c r="D15" s="12"/>
      <c r="E15" s="12"/>
      <c r="F15" s="14" t="n">
        <f aca="false">SUM(F9:F14)</f>
        <v>11450000</v>
      </c>
    </row>
    <row r="17" customFormat="false" ht="15" hidden="false" customHeight="false" outlineLevel="0" collapsed="false">
      <c r="A17" s="6" t="s">
        <v>20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8" t="n">
        <v>1</v>
      </c>
      <c r="B18" s="8" t="s">
        <v>21</v>
      </c>
      <c r="C18" s="8" t="s">
        <v>22</v>
      </c>
      <c r="D18" s="9" t="n">
        <v>20</v>
      </c>
      <c r="E18" s="10" t="n">
        <v>300000</v>
      </c>
      <c r="F18" s="11" t="n">
        <f aca="false">D18*E18</f>
        <v>6000000</v>
      </c>
    </row>
    <row r="19" customFormat="false" ht="15" hidden="false" customHeight="false" outlineLevel="0" collapsed="false">
      <c r="A19" s="8" t="n">
        <v>2</v>
      </c>
      <c r="B19" s="8"/>
      <c r="C19" s="8"/>
      <c r="D19" s="9" t="n">
        <v>0</v>
      </c>
      <c r="E19" s="10" t="n">
        <v>0</v>
      </c>
      <c r="F19" s="11" t="n">
        <f aca="false">D19*E19</f>
        <v>0</v>
      </c>
    </row>
    <row r="20" customFormat="false" ht="15" hidden="false" customHeight="false" outlineLevel="0" collapsed="false">
      <c r="A20" s="8" t="n">
        <v>3</v>
      </c>
      <c r="B20" s="8"/>
      <c r="C20" s="8"/>
      <c r="D20" s="9" t="n">
        <v>0</v>
      </c>
      <c r="E20" s="10" t="n">
        <v>0</v>
      </c>
      <c r="F20" s="11" t="n">
        <f aca="false">D20*E20</f>
        <v>0</v>
      </c>
    </row>
    <row r="21" customFormat="false" ht="15" hidden="false" customHeight="false" outlineLevel="0" collapsed="false">
      <c r="A21" s="8" t="n">
        <v>4</v>
      </c>
      <c r="B21" s="8"/>
      <c r="C21" s="8"/>
      <c r="D21" s="9" t="n">
        <v>0</v>
      </c>
      <c r="E21" s="10" t="n">
        <v>0</v>
      </c>
      <c r="F21" s="11" t="n">
        <f aca="false">D21*E21</f>
        <v>0</v>
      </c>
    </row>
    <row r="22" customFormat="false" ht="15" hidden="false" customHeight="false" outlineLevel="0" collapsed="false">
      <c r="A22" s="12"/>
      <c r="B22" s="13" t="s">
        <v>23</v>
      </c>
      <c r="C22" s="12"/>
      <c r="D22" s="12"/>
      <c r="E22" s="12"/>
      <c r="F22" s="14" t="n">
        <f aca="false">SUM(F18:F21)</f>
        <v>6000000</v>
      </c>
    </row>
    <row r="24" customFormat="false" ht="15" hidden="false" customHeight="false" outlineLevel="0" collapsed="false">
      <c r="A24" s="6" t="s">
        <v>24</v>
      </c>
      <c r="B24" s="7"/>
      <c r="C24" s="7"/>
      <c r="D24" s="7"/>
      <c r="E24" s="7"/>
      <c r="F24" s="7"/>
    </row>
    <row r="25" customFormat="false" ht="15" hidden="false" customHeight="false" outlineLevel="0" collapsed="false">
      <c r="A25" s="8" t="n">
        <v>1</v>
      </c>
      <c r="B25" s="8" t="s">
        <v>25</v>
      </c>
      <c r="C25" s="8" t="s">
        <v>26</v>
      </c>
      <c r="D25" s="9" t="n">
        <v>4</v>
      </c>
      <c r="E25" s="10" t="n">
        <v>500000</v>
      </c>
      <c r="F25" s="11" t="n">
        <f aca="false">D25*E25</f>
        <v>2000000</v>
      </c>
    </row>
    <row r="26" customFormat="false" ht="15" hidden="false" customHeight="false" outlineLevel="0" collapsed="false">
      <c r="A26" s="8" t="n">
        <v>2</v>
      </c>
      <c r="B26" s="8"/>
      <c r="C26" s="8"/>
      <c r="D26" s="9" t="n">
        <v>0</v>
      </c>
      <c r="E26" s="10" t="n">
        <v>0</v>
      </c>
      <c r="F26" s="11" t="n">
        <f aca="false">D26*E26</f>
        <v>0</v>
      </c>
    </row>
    <row r="27" customFormat="false" ht="15" hidden="false" customHeight="false" outlineLevel="0" collapsed="false">
      <c r="A27" s="8" t="n">
        <v>3</v>
      </c>
      <c r="B27" s="8"/>
      <c r="C27" s="8"/>
      <c r="D27" s="9" t="n">
        <v>0</v>
      </c>
      <c r="E27" s="10" t="n">
        <v>0</v>
      </c>
      <c r="F27" s="11" t="n">
        <f aca="false">D27*E27</f>
        <v>0</v>
      </c>
    </row>
    <row r="28" customFormat="false" ht="15" hidden="false" customHeight="false" outlineLevel="0" collapsed="false">
      <c r="A28" s="12"/>
      <c r="B28" s="13" t="s">
        <v>27</v>
      </c>
      <c r="C28" s="12"/>
      <c r="D28" s="12"/>
      <c r="E28" s="12"/>
      <c r="F28" s="14" t="n">
        <f aca="false">SUM(F25:F27)</f>
        <v>2000000</v>
      </c>
    </row>
    <row r="30" customFormat="false" ht="15" hidden="false" customHeight="false" outlineLevel="0" collapsed="false">
      <c r="A30" s="12"/>
      <c r="B30" s="15" t="s">
        <v>28</v>
      </c>
      <c r="C30" s="12"/>
      <c r="D30" s="12"/>
      <c r="E30" s="12"/>
      <c r="F30" s="16" t="n">
        <f aca="false">F15+F22+F28</f>
        <v>19450000</v>
      </c>
    </row>
    <row r="31" customFormat="false" ht="15" hidden="false" customHeight="false" outlineLevel="0" collapsed="false">
      <c r="A31" s="12"/>
      <c r="B31" s="13" t="s">
        <v>29</v>
      </c>
      <c r="C31" s="12"/>
      <c r="D31" s="12"/>
      <c r="E31" s="12"/>
      <c r="F31" s="17" t="n">
        <f aca="false">F30*0.1</f>
        <v>1945000</v>
      </c>
    </row>
    <row r="32" customFormat="false" ht="16.15" hidden="false" customHeight="false" outlineLevel="0" collapsed="false">
      <c r="A32" s="12"/>
      <c r="B32" s="18" t="s">
        <v>30</v>
      </c>
      <c r="C32" s="12"/>
      <c r="D32" s="12"/>
      <c r="E32" s="12"/>
      <c r="F32" s="19" t="n">
        <f aca="false">F30+F31</f>
        <v>21395000</v>
      </c>
    </row>
    <row r="34" customFormat="false" ht="15" hidden="false" customHeight="false" outlineLevel="0" collapsed="false">
      <c r="A34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2026-07-21T14:52:42Z</dcterms:created>
  <dc:creator>openpyxl</dc:creator>
  <dc:description/>
  <dc:language>en-US</dc:language>
  <cp:lastModifiedBy/>
  <dcterms:modified xsi:type="dcterms:W3CDTF">2026-07-21T14:52:42Z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